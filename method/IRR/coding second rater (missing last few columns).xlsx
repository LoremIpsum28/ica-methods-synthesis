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sc\Documents\GitHub\ica-methods-synthesis\method\"/>
    </mc:Choice>
  </mc:AlternateContent>
  <xr:revisionPtr revIDLastSave="0" documentId="8_{64BD9A74-7ECD-451E-8DE7-26C01905352F}" xr6:coauthVersionLast="47" xr6:coauthVersionMax="47" xr10:uidLastSave="{00000000-0000-0000-0000-000000000000}"/>
  <bookViews>
    <workbookView xWindow="-108" yWindow="-108" windowWidth="23256" windowHeight="12456" xr2:uid="{96150A43-70AF-48B7-93A3-89167AC6BE62}"/>
  </bookViews>
  <sheets>
    <sheet name="Sheet1" sheetId="2" r:id="rId1"/>
  </sheets>
  <externalReferences>
    <externalReference r:id="rId2"/>
  </externalReferences>
  <definedNames>
    <definedName name="administration_mode_list">[1]Codebook!$F$2:$F$7</definedName>
    <definedName name="availability_mentioned_list">[1]Codebook!$Q$2:$Q$4</definedName>
    <definedName name="blinded_list">[1]Codebook!$AI$2:$AI$3</definedName>
    <definedName name="categorization_approach_list">[1]Codebook!$AD$2:$AD$5</definedName>
    <definedName name="clinical_relevance_list">[1]Codebook!$O$2:$O$4</definedName>
    <definedName name="codebook_list">[1]Codebook!$AJ$2:$AJ$3</definedName>
    <definedName name="coding_scheme_independent_mentioned_list">[1]Codebook!$AR$2:$AR$3</definedName>
    <definedName name="coding_team_reported_list">[1]Codebook!$AF$2:$AF$4</definedName>
    <definedName name="compound_items_codes_list">[1]Codebook!$AA$2:$AA$5</definedName>
    <definedName name="compound_items_list">[1]Codebook!$Z$2:$Z$4</definedName>
    <definedName name="diagnostic_framework_list">[1]Codebook!$AE$2:$AE$7</definedName>
    <definedName name="disagreement_resolved_mentioned_list">[1]Codebook!$AS$2:$AS$5</definedName>
    <definedName name="exclusion_criteria_list">[1]Codebook!$U$2:$U$4</definedName>
    <definedName name="fields_list">[1]Codebook!$E$2:$E$7</definedName>
    <definedName name="frequency_list">[1]Codebook!$S$2:$S$4</definedName>
    <definedName name="idiosyncratic_items_list">[1]Codebook!$AB$2:$AB$3</definedName>
    <definedName name="inclusion_binary_list">[1]Codebook!$N$2:$N$4</definedName>
    <definedName name="inclusion_criteria_applicable_list">[1]Codebook!$M$2:$M$3</definedName>
    <definedName name="initial_coding_team_size_list">[1]Codebook!$AG$2:$AG$11</definedName>
    <definedName name="IRR_reported_list">[1]Codebook!$AO$2:$AO$3</definedName>
    <definedName name="item_exclusions_list">[1]Codebook!$AM$2:$AM$3</definedName>
    <definedName name="item_unit_list">[1]Codebook!$W$2:$W$7</definedName>
    <definedName name="language_mentioned_list">[1]Codebook!$P$2:$P$4</definedName>
    <definedName name="length_correlation_noted_list">[1]Codebook!$AZ$2:$AZ$4</definedName>
    <definedName name="matrix_list">[1]Codebook!$B$2:$B$3</definedName>
    <definedName name="matrix_source_list">[1]Codebook!$BE$2:$BE$3</definedName>
    <definedName name="max_overlap_list">[1]Codebook!$AX$2:$AX$3</definedName>
    <definedName name="mean_overlap_list">[1]Codebook!$AT$2:$AT$3</definedName>
    <definedName name="min_overlap_list">[1]Codebook!$AV$2:$AV$3</definedName>
    <definedName name="min_scale_citation_list">[1]Codebook!$T$2:$T$4</definedName>
    <definedName name="multiple_analyses_list">[1]Codebook!$V$2:$V$3</definedName>
    <definedName name="n_rater_list">[1]Codebook!$AN$2:$AN$12</definedName>
    <definedName name="overarching_domain_list">[1]Codebook!$D$2:$D$5</definedName>
    <definedName name="population_list">[1]Codebook!$H$2:$H$6</definedName>
    <definedName name="preregistered_rules_list">[1]Codebook!$AQ$2:$AQ$3</definedName>
    <definedName name="prisma_a_list">[1]Codebook!$K$2:$K$3</definedName>
    <definedName name="prisma_list">[1]Codebook!$L$2:$L$4</definedName>
    <definedName name="rater_expertise_list">[1]Codebook!$AH$2:$AH$4</definedName>
    <definedName name="release_date_mentioned_list">[1]Codebook!$R$2:$R$4</definedName>
    <definedName name="reverse_worded_items_list">[1]Codebook!$AC$2:$AC$3</definedName>
    <definedName name="scale_search_list">[1]Codebook!$I$2:$I$4</definedName>
    <definedName name="short_scales_list">[1]Codebook!$G$2:$G$4</definedName>
    <definedName name="software_mentioned_list">[1]Codebook!$AK$2:$AK$3</definedName>
    <definedName name="software_used_list">[1]Codebook!$AL$2:$AL$5</definedName>
    <definedName name="within_scale_item_collapse_list">[1]Codebook!$Y$2:$Y$3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X13" i="2" l="1"/>
  <c r="X32" i="2"/>
  <c r="X34" i="2"/>
</calcChain>
</file>

<file path=xl/sharedStrings.xml><?xml version="1.0" encoding="utf-8"?>
<sst xmlns="http://schemas.openxmlformats.org/spreadsheetml/2006/main" count="249" uniqueCount="127">
  <si>
    <t>FALSE</t>
  </si>
  <si>
    <t>Garcia2027</t>
  </si>
  <si>
    <t>unblinded explicitly mentioned (false?)</t>
  </si>
  <si>
    <t>TRUE</t>
  </si>
  <si>
    <t>Newson2020</t>
  </si>
  <si>
    <t>Autoren als Rater genannt aber Expertise nicht direkt angesprochen</t>
  </si>
  <si>
    <t>Dass2024</t>
  </si>
  <si>
    <t>2</t>
  </si>
  <si>
    <t>category_level</t>
  </si>
  <si>
    <t>clinical_psychopathology</t>
  </si>
  <si>
    <t>Lindert2025</t>
  </si>
  <si>
    <t>children</t>
  </si>
  <si>
    <t>developmental</t>
  </si>
  <si>
    <t>Leung2025</t>
  </si>
  <si>
    <t>Number of items maybe 1-(98/110) or 1-(91/110)?</t>
  </si>
  <si>
    <t>indeterminable</t>
  </si>
  <si>
    <t>none</t>
  </si>
  <si>
    <t>NA</t>
  </si>
  <si>
    <t>symptom_level</t>
  </si>
  <si>
    <t>Medline</t>
  </si>
  <si>
    <t>health_medicine</t>
  </si>
  <si>
    <t>medical_condition</t>
  </si>
  <si>
    <t>Chrobak2024</t>
  </si>
  <si>
    <t>composed of 469 items that provided 60 different symptoms.</t>
  </si>
  <si>
    <t>6</t>
  </si>
  <si>
    <t>Gauld2024</t>
  </si>
  <si>
    <t>Deericks2025</t>
  </si>
  <si>
    <t>Vial2019</t>
  </si>
  <si>
    <t>min_overlap: The CSI and CAP-Knee have very weak or no overlap at all with the other three instruments.</t>
  </si>
  <si>
    <t>Klooster2024</t>
  </si>
  <si>
    <t>not blinded right? (First, EL and SG reviewed all items separately); no IRR: only post hoc consensus is mentioned: (Using this rule, authors reached consensus for 201 items (89.7%).</t>
  </si>
  <si>
    <t>Lampe2024</t>
  </si>
  <si>
    <t>social_interpersonal</t>
  </si>
  <si>
    <t>Elklit2024</t>
  </si>
  <si>
    <t>Karstoft2023</t>
  </si>
  <si>
    <t>Wall2022</t>
  </si>
  <si>
    <t>R</t>
  </si>
  <si>
    <t>Koppold2023a+b</t>
  </si>
  <si>
    <t>multi_coded</t>
  </si>
  <si>
    <t>Bernardin2023</t>
  </si>
  <si>
    <t>Fried2017</t>
  </si>
  <si>
    <t>adults</t>
  </si>
  <si>
    <t>Gauld2023</t>
  </si>
  <si>
    <t>Linton2016</t>
  </si>
  <si>
    <t>Bunaciu2024</t>
  </si>
  <si>
    <t>no overlap calculated</t>
  </si>
  <si>
    <t>Karhulahti2023</t>
  </si>
  <si>
    <t>independent mentioned? After the initial meeting, the first author generated a full set of
preliminary codes for all included items which were reviewed by the
other authors.</t>
  </si>
  <si>
    <t>Black2023 (no JM yet)</t>
  </si>
  <si>
    <t>Christensen2024</t>
  </si>
  <si>
    <t>min_overlap: no overlap at all</t>
  </si>
  <si>
    <t>self_report</t>
  </si>
  <si>
    <t>Skogestad2019</t>
  </si>
  <si>
    <t>Ribotta2021</t>
  </si>
  <si>
    <t>Charvet2022</t>
  </si>
  <si>
    <t xml:space="preserve">high diversity and low overlap between neurological soft sign scales, leading to uncertainty as to whether they measure the same phenomena.  </t>
  </si>
  <si>
    <t>Chrobak2021</t>
  </si>
  <si>
    <t>Peipert2022</t>
  </si>
  <si>
    <t>Martin2022</t>
  </si>
  <si>
    <t>Ong2023</t>
  </si>
  <si>
    <t>Backhaus2022a + b</t>
  </si>
  <si>
    <t xml:space="preserve">“matching picture with object” and “matching object with object” were counted as a single test target of “visual matching.” </t>
  </si>
  <si>
    <t>mixed</t>
  </si>
  <si>
    <t>Castro2023</t>
  </si>
  <si>
    <t>top_down</t>
  </si>
  <si>
    <t>Hendriks2020</t>
  </si>
  <si>
    <t>Visontay2019</t>
  </si>
  <si>
    <t xml:space="preserve">(inclusion binary) rather subjective than explicit inclusion criteria </t>
  </si>
  <si>
    <t>Chrobak2018</t>
  </si>
  <si>
    <t>Vilar2022</t>
  </si>
  <si>
    <t>Kook2024</t>
  </si>
  <si>
    <t>notes</t>
  </si>
  <si>
    <t>matrix_source</t>
  </si>
  <si>
    <t>interpretation</t>
  </si>
  <si>
    <t>correlation_lengthxmeanoverlap_notes</t>
  </si>
  <si>
    <t>length_correlation_noted</t>
  </si>
  <si>
    <t>max_overlap_nr</t>
  </si>
  <si>
    <t>max_overlap</t>
  </si>
  <si>
    <t>min_overlap_nr</t>
  </si>
  <si>
    <t>min_overlap</t>
  </si>
  <si>
    <t>mean_overlap_nr</t>
  </si>
  <si>
    <t>mean_overlap</t>
  </si>
  <si>
    <t>disagreement_resolved_mentioned</t>
  </si>
  <si>
    <t>coding_scheme_independent_mentioned</t>
  </si>
  <si>
    <t>preregistered_rules</t>
  </si>
  <si>
    <t>IRR_reported_nr</t>
  </si>
  <si>
    <t>IRR_reported</t>
  </si>
  <si>
    <t>n_rater</t>
  </si>
  <si>
    <t>item_exclusions</t>
  </si>
  <si>
    <t>software_used</t>
  </si>
  <si>
    <t>software_mentioned</t>
  </si>
  <si>
    <t>codebook</t>
  </si>
  <si>
    <t>blinded</t>
  </si>
  <si>
    <t>rater_expertise</t>
  </si>
  <si>
    <t>initial_coding_team_size</t>
  </si>
  <si>
    <t>coding_team_reported</t>
  </si>
  <si>
    <t>diagnostic_framework</t>
  </si>
  <si>
    <t>categorization_approach</t>
  </si>
  <si>
    <t>reverse_worded_items</t>
  </si>
  <si>
    <t>idiosyncratic_items</t>
  </si>
  <si>
    <t>compound_items_codes</t>
  </si>
  <si>
    <t>compound_items</t>
  </si>
  <si>
    <t>within_scale_item_collapse</t>
  </si>
  <si>
    <t>percentage_reduction</t>
  </si>
  <si>
    <t>item_unit</t>
  </si>
  <si>
    <t>multiple_analyses</t>
  </si>
  <si>
    <t>exclusion_criteria</t>
  </si>
  <si>
    <t>min_scale_citation</t>
  </si>
  <si>
    <t>frequency</t>
  </si>
  <si>
    <t>release_date_mentioned</t>
  </si>
  <si>
    <t>availability_mentioned</t>
  </si>
  <si>
    <t>language_mentioned</t>
  </si>
  <si>
    <t>clinical_relevance</t>
  </si>
  <si>
    <t>inclusion_binary</t>
  </si>
  <si>
    <t>inclusion_criteria_applicable</t>
  </si>
  <si>
    <t>prisma</t>
  </si>
  <si>
    <t>prisma_a</t>
  </si>
  <si>
    <t>database</t>
  </si>
  <si>
    <t>scale_search</t>
  </si>
  <si>
    <t>population</t>
  </si>
  <si>
    <t>short_scales</t>
  </si>
  <si>
    <t>administration_mode</t>
  </si>
  <si>
    <t>fields</t>
  </si>
  <si>
    <t>overarching_domain</t>
  </si>
  <si>
    <t>n_scales</t>
  </si>
  <si>
    <t>matrix</t>
  </si>
  <si>
    <t>study_id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</si>
</sst>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imsc\Documents\GitHub\ica-methods-synthesis\method\ica_methods_codebook.xlsx" TargetMode="External"/><Relationship Id="rId1" Type="http://schemas.openxmlformats.org/officeDocument/2006/relationships/externalLinkPath" Target="ica_methods_codeboo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debook"/>
    </sheetNames>
    <sheetDataSet>
      <sheetData sheetId="0">
        <row r="2">
          <cell r="B2" t="str">
            <v>TRUE</v>
          </cell>
          <cell r="D2" t="str">
            <v>psychological_condition</v>
          </cell>
          <cell r="E2" t="str">
            <v>clinical_psychopathology</v>
          </cell>
          <cell r="F2" t="str">
            <v>self_report</v>
          </cell>
          <cell r="G2" t="str">
            <v>TRUE</v>
          </cell>
          <cell r="H2" t="str">
            <v>children</v>
          </cell>
          <cell r="I2" t="str">
            <v>TRUE</v>
          </cell>
          <cell r="K2" t="str">
            <v>TRUE</v>
          </cell>
          <cell r="L2" t="str">
            <v>TRUE</v>
          </cell>
          <cell r="M2" t="str">
            <v>TRUE</v>
          </cell>
          <cell r="N2" t="str">
            <v>TRUE</v>
          </cell>
          <cell r="O2" t="str">
            <v>TRUE</v>
          </cell>
          <cell r="P2" t="str">
            <v>TRUE</v>
          </cell>
          <cell r="Q2" t="str">
            <v>TRUE</v>
          </cell>
          <cell r="R2" t="str">
            <v>TRUE</v>
          </cell>
          <cell r="S2" t="str">
            <v>TRUE</v>
          </cell>
          <cell r="T2" t="str">
            <v>TRUE</v>
          </cell>
          <cell r="U2" t="str">
            <v>TRUE</v>
          </cell>
          <cell r="V2" t="str">
            <v>TRUE</v>
          </cell>
          <cell r="W2" t="str">
            <v>item_level</v>
          </cell>
          <cell r="Y2" t="str">
            <v>TRUE</v>
          </cell>
          <cell r="Z2" t="str">
            <v>TRUE</v>
          </cell>
          <cell r="AA2" t="str">
            <v>multi_coded</v>
          </cell>
          <cell r="AB2" t="str">
            <v>TRUE</v>
          </cell>
          <cell r="AC2" t="str">
            <v>TRUE</v>
          </cell>
          <cell r="AD2" t="str">
            <v>bottom_up</v>
          </cell>
          <cell r="AE2" t="str">
            <v>DSM-5 (or older version)</v>
          </cell>
          <cell r="AF2" t="str">
            <v>TRUE</v>
          </cell>
          <cell r="AG2" t="str">
            <v>1</v>
          </cell>
          <cell r="AH2" t="str">
            <v>TRUE</v>
          </cell>
          <cell r="AI2" t="str">
            <v>TRUE</v>
          </cell>
          <cell r="AJ2" t="str">
            <v>TRUE</v>
          </cell>
          <cell r="AK2" t="str">
            <v>TRUE</v>
          </cell>
          <cell r="AL2" t="str">
            <v>R</v>
          </cell>
          <cell r="AM2" t="str">
            <v>TRUE</v>
          </cell>
          <cell r="AN2" t="str">
            <v>1</v>
          </cell>
          <cell r="AO2" t="str">
            <v>TRUE</v>
          </cell>
          <cell r="AQ2" t="str">
            <v>TRUE</v>
          </cell>
          <cell r="AR2" t="str">
            <v>TRUE</v>
          </cell>
          <cell r="AS2" t="str">
            <v>TRUE</v>
          </cell>
          <cell r="AT2" t="str">
            <v>TRUE</v>
          </cell>
          <cell r="AV2" t="str">
            <v>TRUE</v>
          </cell>
          <cell r="AX2" t="str">
            <v>TRUE</v>
          </cell>
          <cell r="AZ2" t="str">
            <v>TRUE</v>
          </cell>
          <cell r="BE2" t="str">
            <v>main text</v>
          </cell>
        </row>
        <row r="3">
          <cell r="B3" t="str">
            <v>FALSE</v>
          </cell>
          <cell r="D3" t="str">
            <v>transdiagnostic_feature</v>
          </cell>
          <cell r="E3" t="str">
            <v>developmental</v>
          </cell>
          <cell r="F3" t="str">
            <v>structured_interview</v>
          </cell>
          <cell r="G3" t="str">
            <v>FALSE</v>
          </cell>
          <cell r="H3" t="str">
            <v>mixed</v>
          </cell>
          <cell r="I3" t="str">
            <v>FALSE</v>
          </cell>
          <cell r="K3" t="str">
            <v>FALSE</v>
          </cell>
          <cell r="L3" t="str">
            <v>FALSE</v>
          </cell>
          <cell r="M3" t="str">
            <v>FALSE</v>
          </cell>
          <cell r="N3" t="str">
            <v>FALSE</v>
          </cell>
          <cell r="O3" t="str">
            <v>FALSE</v>
          </cell>
          <cell r="P3" t="str">
            <v>FALSE</v>
          </cell>
          <cell r="Q3" t="str">
            <v>FALSE</v>
          </cell>
          <cell r="R3" t="str">
            <v>FALSE</v>
          </cell>
          <cell r="S3" t="str">
            <v>FALSE</v>
          </cell>
          <cell r="T3" t="str">
            <v>FALSE</v>
          </cell>
          <cell r="U3" t="str">
            <v>FALSE</v>
          </cell>
          <cell r="V3" t="str">
            <v>FALSE</v>
          </cell>
          <cell r="W3" t="str">
            <v>semantic_level</v>
          </cell>
          <cell r="Y3" t="str">
            <v>FALSE</v>
          </cell>
          <cell r="Z3" t="str">
            <v>FALSE</v>
          </cell>
          <cell r="AA3" t="str">
            <v>other</v>
          </cell>
          <cell r="AB3" t="str">
            <v>FALSE</v>
          </cell>
          <cell r="AC3" t="str">
            <v>FALSE</v>
          </cell>
          <cell r="AD3" t="str">
            <v>top_down</v>
          </cell>
          <cell r="AE3" t="str">
            <v>ICD-11 (or older version)</v>
          </cell>
          <cell r="AF3" t="str">
            <v>FALSE</v>
          </cell>
          <cell r="AG3" t="str">
            <v>2</v>
          </cell>
          <cell r="AH3" t="str">
            <v>FALSE</v>
          </cell>
          <cell r="AI3" t="str">
            <v>FALSE</v>
          </cell>
          <cell r="AJ3" t="str">
            <v>FALSE</v>
          </cell>
          <cell r="AK3" t="str">
            <v>FALSE</v>
          </cell>
          <cell r="AL3" t="str">
            <v>python</v>
          </cell>
          <cell r="AM3" t="str">
            <v>FALSE</v>
          </cell>
          <cell r="AN3" t="str">
            <v>2</v>
          </cell>
          <cell r="AO3" t="str">
            <v>FALSE</v>
          </cell>
          <cell r="AQ3" t="str">
            <v>FALSE</v>
          </cell>
          <cell r="AR3" t="str">
            <v>FALSE</v>
          </cell>
          <cell r="AS3" t="str">
            <v>FALSE</v>
          </cell>
          <cell r="AT3" t="str">
            <v>FALSE</v>
          </cell>
          <cell r="AV3" t="str">
            <v>FALSE</v>
          </cell>
          <cell r="AX3" t="str">
            <v>FALSE</v>
          </cell>
          <cell r="AZ3" t="str">
            <v>FALSE</v>
          </cell>
          <cell r="BE3" t="str">
            <v>supplement</v>
          </cell>
        </row>
        <row r="4">
          <cell r="D4" t="str">
            <v>other</v>
          </cell>
          <cell r="E4" t="str">
            <v>well_being_qol</v>
          </cell>
          <cell r="F4" t="str">
            <v>parent_report</v>
          </cell>
          <cell r="G4" t="str">
            <v>indeterminable</v>
          </cell>
          <cell r="H4" t="str">
            <v>adults</v>
          </cell>
          <cell r="I4" t="str">
            <v>indeterminable</v>
          </cell>
          <cell r="L4" t="str">
            <v>NA</v>
          </cell>
          <cell r="N4" t="str">
            <v>NA</v>
          </cell>
          <cell r="O4" t="str">
            <v>NA</v>
          </cell>
          <cell r="P4" t="str">
            <v>NA</v>
          </cell>
          <cell r="Q4" t="str">
            <v>NA</v>
          </cell>
          <cell r="R4" t="str">
            <v>NA</v>
          </cell>
          <cell r="S4" t="str">
            <v>NA</v>
          </cell>
          <cell r="T4" t="str">
            <v>NA</v>
          </cell>
          <cell r="U4" t="str">
            <v>NA</v>
          </cell>
          <cell r="W4" t="str">
            <v>symptom_level</v>
          </cell>
          <cell r="Z4" t="str">
            <v>indeterminable</v>
          </cell>
          <cell r="AA4" t="str">
            <v>mono_coded</v>
          </cell>
          <cell r="AD4" t="str">
            <v>mixed</v>
          </cell>
          <cell r="AE4" t="str">
            <v>WHO definition</v>
          </cell>
          <cell r="AF4" t="str">
            <v>indeterminable</v>
          </cell>
          <cell r="AG4" t="str">
            <v>3</v>
          </cell>
          <cell r="AH4" t="str">
            <v>indeterminable</v>
          </cell>
          <cell r="AL4" t="str">
            <v>no code</v>
          </cell>
          <cell r="AN4" t="str">
            <v>3</v>
          </cell>
          <cell r="AS4" t="str">
            <v>NA</v>
          </cell>
          <cell r="AZ4" t="str">
            <v>indeterminable</v>
          </cell>
        </row>
        <row r="5">
          <cell r="D5" t="str">
            <v>medical_condition</v>
          </cell>
          <cell r="E5" t="str">
            <v>other</v>
          </cell>
          <cell r="F5" t="str">
            <v>observer_report</v>
          </cell>
          <cell r="H5" t="str">
            <v>adolescents</v>
          </cell>
          <cell r="W5" t="str">
            <v>criterion_level</v>
          </cell>
          <cell r="AA5" t="str">
            <v>NA</v>
          </cell>
          <cell r="AD5" t="str">
            <v>indeterminable</v>
          </cell>
          <cell r="AE5" t="str">
            <v>national or international guidelines</v>
          </cell>
          <cell r="AG5" t="str">
            <v>4</v>
          </cell>
          <cell r="AL5" t="str">
            <v>not mentioned</v>
          </cell>
          <cell r="AN5" t="str">
            <v>4</v>
          </cell>
          <cell r="AS5" t="str">
            <v>indeterminable</v>
          </cell>
        </row>
        <row r="6">
          <cell r="E6" t="str">
            <v>social_interpersonal</v>
          </cell>
          <cell r="F6" t="str">
            <v>mixed</v>
          </cell>
          <cell r="H6" t="str">
            <v>indeterminable</v>
          </cell>
          <cell r="W6" t="str">
            <v>category_level</v>
          </cell>
          <cell r="AE6" t="str">
            <v>other</v>
          </cell>
          <cell r="AG6" t="str">
            <v>5</v>
          </cell>
          <cell r="AN6" t="str">
            <v>5</v>
          </cell>
        </row>
        <row r="7">
          <cell r="E7" t="str">
            <v>health_medicine</v>
          </cell>
          <cell r="F7" t="str">
            <v>indeterminable</v>
          </cell>
          <cell r="W7" t="str">
            <v>multiple_analyses</v>
          </cell>
          <cell r="AE7" t="str">
            <v>none</v>
          </cell>
          <cell r="AG7" t="str">
            <v>6</v>
          </cell>
          <cell r="AN7" t="str">
            <v>6</v>
          </cell>
        </row>
        <row r="8">
          <cell r="AG8" t="str">
            <v>7</v>
          </cell>
          <cell r="AN8" t="str">
            <v>7</v>
          </cell>
        </row>
        <row r="9">
          <cell r="AG9" t="str">
            <v>8</v>
          </cell>
          <cell r="AN9" t="str">
            <v>8</v>
          </cell>
        </row>
        <row r="10">
          <cell r="AG10" t="str">
            <v>NA</v>
          </cell>
          <cell r="AN10" t="str">
            <v>9</v>
          </cell>
        </row>
        <row r="11">
          <cell r="AG11" t="str">
            <v>indeterminable</v>
          </cell>
          <cell r="AN11" t="str">
            <v>NA</v>
          </cell>
        </row>
        <row r="12">
          <cell r="AN12" t="str">
            <v>indeterminable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A9B33-E418-4165-AD9E-02046FC9D504}">
  <dimension ref="A1:BD38"/>
  <sheetViews>
    <sheetView tabSelected="1" workbookViewId="0">
      <pane xSplit="1" ySplit="1" topLeftCell="AV2" activePane="bottomRight" state="frozen"/>
      <selection pane="topRight"/>
      <selection pane="bottomLeft"/>
      <selection pane="bottomRight" activeCell="AV25" sqref="AV25"/>
    </sheetView>
  </sheetViews>
  <sheetFormatPr defaultColWidth="11.44140625" defaultRowHeight="14.4" x14ac:dyDescent="0.3"/>
  <cols>
    <col min="1" max="1" width="22" customWidth="1"/>
    <col min="2" max="2" width="13" customWidth="1"/>
    <col min="3" max="3" width="20" customWidth="1"/>
    <col min="4" max="4" width="18.77734375" customWidth="1"/>
    <col min="5" max="5" width="13" customWidth="1"/>
    <col min="6" max="6" width="20" customWidth="1"/>
    <col min="7" max="9" width="13" customWidth="1"/>
    <col min="10" max="10" width="20" customWidth="1"/>
    <col min="11" max="12" width="13" customWidth="1"/>
    <col min="13" max="13" width="30.44140625" customWidth="1"/>
    <col min="14" max="14" width="16.77734375" customWidth="1"/>
    <col min="15" max="16" width="18.77734375" customWidth="1"/>
    <col min="17" max="18" width="23.109375" customWidth="1"/>
    <col min="19" max="19" width="13" customWidth="1"/>
    <col min="20" max="21" width="18.77734375" customWidth="1"/>
    <col min="22" max="22" width="17.77734375" customWidth="1"/>
    <col min="23" max="23" width="13" customWidth="1"/>
    <col min="24" max="24" width="21" customWidth="1"/>
    <col min="25" max="25" width="27.33203125" customWidth="1"/>
    <col min="26" max="26" width="14.6640625" customWidth="1"/>
    <col min="27" max="27" width="21" customWidth="1"/>
    <col min="28" max="28" width="20" customWidth="1"/>
    <col min="29" max="29" width="21" customWidth="1"/>
    <col min="30" max="30" width="24.109375" customWidth="1"/>
    <col min="31" max="32" width="21" customWidth="1"/>
    <col min="33" max="33" width="25.109375" customWidth="1"/>
    <col min="34" max="34" width="15.77734375" customWidth="1"/>
    <col min="35" max="36" width="13" customWidth="1"/>
    <col min="37" max="37" width="18.77734375" customWidth="1"/>
    <col min="38" max="38" width="13.6640625" customWidth="1"/>
    <col min="39" max="39" width="15.77734375" customWidth="1"/>
    <col min="40" max="41" width="13" customWidth="1"/>
    <col min="42" max="43" width="20" customWidth="1"/>
    <col min="44" max="45" width="32" customWidth="1"/>
    <col min="46" max="46" width="13" customWidth="1"/>
    <col min="47" max="47" width="20" customWidth="1"/>
    <col min="48" max="48" width="13" customWidth="1"/>
    <col min="49" max="49" width="20" customWidth="1"/>
    <col min="50" max="50" width="13" customWidth="1"/>
    <col min="51" max="51" width="20" customWidth="1"/>
    <col min="52" max="52" width="25.109375" customWidth="1"/>
    <col min="53" max="53" width="32" customWidth="1"/>
    <col min="54" max="54" width="20" customWidth="1"/>
    <col min="55" max="55" width="13.6640625" customWidth="1"/>
    <col min="56" max="56" width="20" customWidth="1"/>
  </cols>
  <sheetData>
    <row r="1" spans="1:56" x14ac:dyDescent="0.3">
      <c r="A1" s="4" t="s">
        <v>126</v>
      </c>
      <c r="B1" s="4" t="s">
        <v>125</v>
      </c>
      <c r="C1" s="4" t="s">
        <v>124</v>
      </c>
      <c r="D1" s="4" t="s">
        <v>123</v>
      </c>
      <c r="E1" s="4" t="s">
        <v>122</v>
      </c>
      <c r="F1" s="4" t="s">
        <v>121</v>
      </c>
      <c r="G1" s="4" t="s">
        <v>120</v>
      </c>
      <c r="H1" s="4" t="s">
        <v>119</v>
      </c>
      <c r="I1" s="4" t="s">
        <v>118</v>
      </c>
      <c r="J1" s="4" t="s">
        <v>117</v>
      </c>
      <c r="K1" s="4" t="s">
        <v>116</v>
      </c>
      <c r="L1" s="4" t="s">
        <v>115</v>
      </c>
      <c r="M1" s="4" t="s">
        <v>114</v>
      </c>
      <c r="N1" s="4" t="s">
        <v>113</v>
      </c>
      <c r="O1" s="4" t="s">
        <v>112</v>
      </c>
      <c r="P1" s="4" t="s">
        <v>111</v>
      </c>
      <c r="Q1" s="4" t="s">
        <v>110</v>
      </c>
      <c r="R1" s="4" t="s">
        <v>109</v>
      </c>
      <c r="S1" s="4" t="s">
        <v>108</v>
      </c>
      <c r="T1" s="4" t="s">
        <v>107</v>
      </c>
      <c r="U1" s="4" t="s">
        <v>106</v>
      </c>
      <c r="V1" s="4" t="s">
        <v>105</v>
      </c>
      <c r="W1" s="4" t="s">
        <v>104</v>
      </c>
      <c r="X1" s="4" t="s">
        <v>103</v>
      </c>
      <c r="Y1" s="4" t="s">
        <v>102</v>
      </c>
      <c r="Z1" s="4" t="s">
        <v>101</v>
      </c>
      <c r="AA1" s="4" t="s">
        <v>100</v>
      </c>
      <c r="AB1" s="4" t="s">
        <v>99</v>
      </c>
      <c r="AC1" s="4" t="s">
        <v>98</v>
      </c>
      <c r="AD1" s="4" t="s">
        <v>97</v>
      </c>
      <c r="AE1" s="4" t="s">
        <v>96</v>
      </c>
      <c r="AF1" s="4" t="s">
        <v>95</v>
      </c>
      <c r="AG1" s="4" t="s">
        <v>94</v>
      </c>
      <c r="AH1" s="4" t="s">
        <v>93</v>
      </c>
      <c r="AI1" s="4" t="s">
        <v>92</v>
      </c>
      <c r="AJ1" s="4" t="s">
        <v>91</v>
      </c>
      <c r="AK1" s="4" t="s">
        <v>90</v>
      </c>
      <c r="AL1" s="4" t="s">
        <v>89</v>
      </c>
      <c r="AM1" s="4" t="s">
        <v>88</v>
      </c>
      <c r="AN1" s="4" t="s">
        <v>87</v>
      </c>
      <c r="AO1" s="4" t="s">
        <v>86</v>
      </c>
      <c r="AP1" s="4" t="s">
        <v>85</v>
      </c>
      <c r="AQ1" s="4" t="s">
        <v>84</v>
      </c>
      <c r="AR1" s="4" t="s">
        <v>83</v>
      </c>
      <c r="AS1" s="4" t="s">
        <v>82</v>
      </c>
      <c r="AT1" s="4" t="s">
        <v>81</v>
      </c>
      <c r="AU1" s="4" t="s">
        <v>80</v>
      </c>
      <c r="AV1" s="4" t="s">
        <v>79</v>
      </c>
      <c r="AW1" s="4" t="s">
        <v>78</v>
      </c>
      <c r="AX1" s="4" t="s">
        <v>77</v>
      </c>
      <c r="AY1" s="4" t="s">
        <v>76</v>
      </c>
      <c r="AZ1" s="4" t="s">
        <v>75</v>
      </c>
      <c r="BA1" s="4" t="s">
        <v>74</v>
      </c>
      <c r="BB1" s="4" t="s">
        <v>73</v>
      </c>
      <c r="BC1" s="4" t="s">
        <v>72</v>
      </c>
      <c r="BD1" s="4" t="s">
        <v>71</v>
      </c>
    </row>
    <row r="2" spans="1:56" x14ac:dyDescent="0.3">
      <c r="A2" s="1" t="s">
        <v>70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 t="s">
        <v>0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</row>
    <row r="3" spans="1:56" x14ac:dyDescent="0.3">
      <c r="A3" s="1" t="s">
        <v>69</v>
      </c>
      <c r="B3" s="1"/>
      <c r="C3" s="1"/>
      <c r="D3" s="1"/>
      <c r="E3" s="1"/>
      <c r="F3" s="1"/>
      <c r="G3" s="1"/>
      <c r="H3" s="1"/>
      <c r="I3" s="1"/>
      <c r="J3" s="1"/>
      <c r="K3" s="2" t="s">
        <v>3</v>
      </c>
      <c r="L3" s="2" t="s">
        <v>0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2" t="s">
        <v>0</v>
      </c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</row>
    <row r="4" spans="1:56" x14ac:dyDescent="0.3">
      <c r="A4" s="1" t="s">
        <v>68</v>
      </c>
      <c r="B4" s="1"/>
      <c r="C4" s="1"/>
      <c r="D4" s="1"/>
      <c r="E4" s="1"/>
      <c r="F4" s="1"/>
      <c r="G4" s="2" t="s">
        <v>0</v>
      </c>
      <c r="H4" s="1"/>
      <c r="I4" s="1"/>
      <c r="J4" s="1"/>
      <c r="K4" s="1"/>
      <c r="L4" s="1"/>
      <c r="M4" s="1" t="s">
        <v>3</v>
      </c>
      <c r="N4" s="2" t="s">
        <v>0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2" t="s">
        <v>3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2" t="s">
        <v>0</v>
      </c>
      <c r="AP4" s="1"/>
      <c r="AQ4" s="2" t="s">
        <v>0</v>
      </c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 t="s">
        <v>67</v>
      </c>
    </row>
    <row r="5" spans="1:56" x14ac:dyDescent="0.3">
      <c r="A5" s="1" t="s">
        <v>66</v>
      </c>
      <c r="B5" s="1"/>
      <c r="C5" s="1"/>
      <c r="D5" s="1"/>
      <c r="E5" s="1"/>
      <c r="F5" s="1"/>
      <c r="G5" s="1"/>
      <c r="H5" s="1"/>
      <c r="I5" s="1"/>
      <c r="J5" s="1"/>
      <c r="K5" s="2" t="s">
        <v>3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2" t="s">
        <v>0</v>
      </c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</row>
    <row r="6" spans="1:56" x14ac:dyDescent="0.3">
      <c r="A6" s="1" t="s">
        <v>65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2" t="s">
        <v>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2" t="s">
        <v>0</v>
      </c>
      <c r="AC6" s="1"/>
      <c r="AD6" s="2" t="s">
        <v>64</v>
      </c>
      <c r="AE6" s="1"/>
      <c r="AF6" s="2" t="s">
        <v>0</v>
      </c>
      <c r="AG6" s="1"/>
      <c r="AH6" s="1"/>
      <c r="AI6" s="1"/>
      <c r="AJ6" s="1"/>
      <c r="AK6" s="1"/>
      <c r="AL6" s="2" t="s">
        <v>36</v>
      </c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2"/>
      <c r="BB6" s="1"/>
      <c r="BC6" s="2"/>
      <c r="BD6" s="1"/>
    </row>
    <row r="7" spans="1:56" x14ac:dyDescent="0.3">
      <c r="A7" s="1" t="s">
        <v>63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2" t="s">
        <v>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2" t="s">
        <v>3</v>
      </c>
      <c r="Z7" s="1"/>
      <c r="AA7" s="1"/>
      <c r="AB7" s="1"/>
      <c r="AC7" s="1"/>
      <c r="AD7" s="2" t="s">
        <v>62</v>
      </c>
      <c r="AE7" s="1"/>
      <c r="AF7" s="2" t="s">
        <v>3</v>
      </c>
      <c r="AG7" s="1"/>
      <c r="AH7" s="1"/>
      <c r="AI7" s="1"/>
      <c r="AJ7" s="2" t="s">
        <v>0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2" t="s">
        <v>3</v>
      </c>
      <c r="AW7" s="1"/>
      <c r="AX7" s="2" t="s">
        <v>3</v>
      </c>
      <c r="AY7" s="1"/>
      <c r="AZ7" s="1"/>
      <c r="BA7" s="1"/>
      <c r="BB7" s="1"/>
      <c r="BC7" s="1"/>
      <c r="BD7" s="1" t="s">
        <v>61</v>
      </c>
    </row>
    <row r="8" spans="1:56" x14ac:dyDescent="0.3">
      <c r="A8" s="1" t="s">
        <v>60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2" t="s">
        <v>0</v>
      </c>
      <c r="P8" s="1"/>
      <c r="Q8" s="1"/>
      <c r="R8" s="1"/>
      <c r="S8" s="1"/>
      <c r="T8" s="2" t="s">
        <v>0</v>
      </c>
      <c r="U8" s="1"/>
      <c r="V8" s="1"/>
      <c r="W8" s="1"/>
      <c r="X8" s="1"/>
      <c r="Y8" s="1"/>
      <c r="Z8" s="2" t="s">
        <v>3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2" t="s">
        <v>0</v>
      </c>
      <c r="AP8" s="1"/>
      <c r="AQ8" s="1"/>
      <c r="AR8" s="1"/>
      <c r="AS8" s="2" t="s">
        <v>0</v>
      </c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</row>
    <row r="9" spans="1:56" x14ac:dyDescent="0.3">
      <c r="A9" s="1" t="s">
        <v>59</v>
      </c>
      <c r="B9" s="2" t="s">
        <v>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2" t="s">
        <v>3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2" t="s">
        <v>3</v>
      </c>
      <c r="AD9" s="1"/>
      <c r="AE9" s="1"/>
      <c r="AF9" s="1"/>
      <c r="AG9" s="1"/>
      <c r="AH9" s="1"/>
      <c r="AI9" s="1"/>
      <c r="AJ9" s="2" t="s">
        <v>0</v>
      </c>
      <c r="AK9" s="1"/>
      <c r="AL9" s="1"/>
      <c r="AM9" s="2" t="s">
        <v>0</v>
      </c>
      <c r="AN9" s="1"/>
      <c r="AO9" s="2" t="s">
        <v>3</v>
      </c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</row>
    <row r="10" spans="1:56" x14ac:dyDescent="0.3">
      <c r="A10" s="1" t="s">
        <v>58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2" t="s">
        <v>17</v>
      </c>
      <c r="T10" s="1"/>
      <c r="U10" s="1"/>
      <c r="V10" s="1"/>
      <c r="W10" s="1"/>
      <c r="X10" s="1"/>
      <c r="Y10" s="1"/>
      <c r="Z10" s="2" t="s">
        <v>3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2" t="s">
        <v>0</v>
      </c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</row>
    <row r="11" spans="1:56" x14ac:dyDescent="0.3">
      <c r="A11" s="1" t="s">
        <v>57</v>
      </c>
      <c r="B11" s="2" t="s">
        <v>3</v>
      </c>
      <c r="C11" s="1"/>
      <c r="D11" s="1"/>
      <c r="E11" s="1"/>
      <c r="F11" s="1"/>
      <c r="G11" s="1"/>
      <c r="H11" s="2" t="s">
        <v>15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2" t="s">
        <v>3</v>
      </c>
      <c r="AL11" s="1"/>
      <c r="AM11" s="2" t="s">
        <v>0</v>
      </c>
      <c r="AN11" s="1"/>
      <c r="AO11" s="1"/>
      <c r="AP11" s="1"/>
      <c r="AQ11" s="1"/>
      <c r="AR11" s="1"/>
      <c r="AS11" s="2" t="s">
        <v>0</v>
      </c>
      <c r="AT11" s="1"/>
      <c r="AU11" s="1"/>
      <c r="AV11" s="1"/>
      <c r="AW11" s="1"/>
      <c r="AX11" s="2" t="s">
        <v>3</v>
      </c>
      <c r="AY11" s="1"/>
      <c r="AZ11" s="1"/>
      <c r="BA11" s="1"/>
      <c r="BB11" s="1"/>
      <c r="BC11" s="1"/>
      <c r="BD11" s="1"/>
    </row>
    <row r="12" spans="1:56" x14ac:dyDescent="0.3">
      <c r="A12" s="1" t="s">
        <v>56</v>
      </c>
      <c r="B12" s="1"/>
      <c r="C12" s="1"/>
      <c r="D12" s="1"/>
      <c r="E12" s="1"/>
      <c r="F12" s="1"/>
      <c r="G12" s="2" t="s">
        <v>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2" t="s">
        <v>17</v>
      </c>
      <c r="V12" s="1"/>
      <c r="W12" s="1"/>
      <c r="X12" s="1"/>
      <c r="Y12" s="1"/>
      <c r="Z12" s="1"/>
      <c r="AA12" s="1"/>
      <c r="AB12" s="1"/>
      <c r="AC12" s="1"/>
      <c r="AD12" s="1"/>
      <c r="AE12" s="1"/>
      <c r="AF12" s="2" t="s"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2" t="s">
        <v>0</v>
      </c>
      <c r="AT12" s="1"/>
      <c r="AU12" s="1"/>
      <c r="AV12" s="1"/>
      <c r="AW12" s="1"/>
      <c r="AX12" s="1"/>
      <c r="AY12" s="1"/>
      <c r="AZ12" s="2" t="s">
        <v>3</v>
      </c>
      <c r="BA12" s="1"/>
      <c r="BB12" s="2" t="s">
        <v>55</v>
      </c>
      <c r="BC12" s="1"/>
      <c r="BD12" s="1"/>
    </row>
    <row r="13" spans="1:56" x14ac:dyDescent="0.3">
      <c r="A13" s="1" t="s">
        <v>54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2" t="s">
        <v>3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2">
        <f xml:space="preserve"> 1-(35 / 112)</f>
        <v>0.6875</v>
      </c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</row>
    <row r="14" spans="1:56" x14ac:dyDescent="0.3">
      <c r="A14" s="1" t="s">
        <v>53</v>
      </c>
      <c r="B14" s="1"/>
      <c r="C14" s="1"/>
      <c r="D14" s="1"/>
      <c r="E14" s="1"/>
      <c r="F14" s="1"/>
      <c r="G14" s="1"/>
      <c r="H14" s="1"/>
      <c r="I14" s="2" t="s">
        <v>3</v>
      </c>
      <c r="J14" s="1"/>
      <c r="K14" s="1"/>
      <c r="L14" s="1"/>
      <c r="M14" s="1"/>
      <c r="N14" s="1"/>
      <c r="O14" s="1"/>
      <c r="P14" s="1"/>
      <c r="Q14" s="1"/>
      <c r="R14" s="2" t="s">
        <v>0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2" t="s">
        <v>3</v>
      </c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</row>
    <row r="15" spans="1:56" x14ac:dyDescent="0.3">
      <c r="A15" s="1" t="s">
        <v>52</v>
      </c>
      <c r="B15" s="1"/>
      <c r="C15" s="1"/>
      <c r="D15" s="1"/>
      <c r="E15" s="1"/>
      <c r="F15" s="2" t="s">
        <v>51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2" t="s">
        <v>3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2" t="s">
        <v>3</v>
      </c>
      <c r="AW15" s="1"/>
      <c r="AX15" s="1"/>
      <c r="AY15" s="1"/>
      <c r="AZ15" s="1"/>
      <c r="BA15" s="1"/>
      <c r="BB15" s="1"/>
      <c r="BC15" s="1"/>
      <c r="BD15" s="1" t="s">
        <v>50</v>
      </c>
    </row>
    <row r="16" spans="1:56" x14ac:dyDescent="0.3">
      <c r="A16" s="1" t="s">
        <v>49</v>
      </c>
      <c r="B16" s="1"/>
      <c r="C16" s="2">
        <v>6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" t="s">
        <v>3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2" t="s">
        <v>3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</row>
    <row r="17" spans="1:56" x14ac:dyDescent="0.3">
      <c r="A17" s="1" t="s">
        <v>48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2" t="s">
        <v>38</v>
      </c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2" t="s">
        <v>3</v>
      </c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 t="s">
        <v>47</v>
      </c>
    </row>
    <row r="18" spans="1:56" x14ac:dyDescent="0.3">
      <c r="A18" s="1" t="s">
        <v>46</v>
      </c>
      <c r="B18" s="1"/>
      <c r="C18" s="1"/>
      <c r="D18" s="1"/>
      <c r="E18" s="1"/>
      <c r="F18" s="1"/>
      <c r="G18" s="2" t="s">
        <v>3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2" t="s">
        <v>0</v>
      </c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2" t="s">
        <v>45</v>
      </c>
      <c r="AV18" s="1"/>
      <c r="AW18" s="1"/>
      <c r="AX18" s="1"/>
      <c r="AY18" s="1"/>
      <c r="AZ18" s="1"/>
      <c r="BA18" s="1"/>
      <c r="BB18" s="1"/>
      <c r="BC18" s="1"/>
      <c r="BD18" s="1"/>
    </row>
    <row r="19" spans="1:56" x14ac:dyDescent="0.3">
      <c r="A19" s="1" t="s">
        <v>44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</row>
    <row r="20" spans="1:56" x14ac:dyDescent="0.3">
      <c r="A20" s="1" t="s">
        <v>43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2" t="s">
        <v>0</v>
      </c>
      <c r="AU20" s="1"/>
      <c r="AV20" s="1"/>
      <c r="AW20" s="1"/>
      <c r="AX20" s="1"/>
      <c r="AY20" s="1"/>
      <c r="AZ20" s="1"/>
      <c r="BA20" s="1"/>
      <c r="BB20" s="1"/>
      <c r="BC20" s="1"/>
      <c r="BD20" s="1"/>
    </row>
    <row r="21" spans="1:56" x14ac:dyDescent="0.3">
      <c r="A21" s="1" t="s">
        <v>42</v>
      </c>
      <c r="B21" s="1"/>
      <c r="C21" s="1"/>
      <c r="D21" s="1"/>
      <c r="E21" s="1"/>
      <c r="F21" s="1"/>
      <c r="G21" s="1"/>
      <c r="H21" s="2" t="s">
        <v>41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2" t="s">
        <v>3</v>
      </c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</row>
    <row r="22" spans="1:56" x14ac:dyDescent="0.3">
      <c r="A22" s="1" t="s">
        <v>40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2" t="s">
        <v>0</v>
      </c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2" t="s">
        <v>36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</row>
    <row r="23" spans="1:56" x14ac:dyDescent="0.3">
      <c r="A23" s="1" t="s">
        <v>39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2" t="s">
        <v>0</v>
      </c>
      <c r="R23" s="1"/>
      <c r="S23" s="1"/>
      <c r="T23" s="2" t="s">
        <v>0</v>
      </c>
      <c r="U23" s="1"/>
      <c r="V23" s="1"/>
      <c r="W23" s="1"/>
      <c r="X23" s="1"/>
      <c r="Y23" s="1"/>
      <c r="Z23" s="2" t="s">
        <v>3</v>
      </c>
      <c r="AA23" s="2" t="s">
        <v>38</v>
      </c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2" t="s">
        <v>0</v>
      </c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</row>
    <row r="24" spans="1:56" x14ac:dyDescent="0.3">
      <c r="A24" s="1" t="s">
        <v>37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" t="s">
        <v>0</v>
      </c>
      <c r="P24" s="1"/>
      <c r="Q24" s="1"/>
      <c r="R24" s="1"/>
      <c r="S24" s="2" t="s">
        <v>0</v>
      </c>
      <c r="T24" s="1"/>
      <c r="U24" s="1"/>
      <c r="V24" s="2" t="s">
        <v>3</v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2" t="s">
        <v>36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</row>
    <row r="25" spans="1:56" x14ac:dyDescent="0.3">
      <c r="A25" s="1" t="s">
        <v>35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2" t="s">
        <v>3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2" t="s">
        <v>16</v>
      </c>
      <c r="AF25" s="1"/>
      <c r="AG25" s="1"/>
      <c r="AH25" s="2" t="s">
        <v>0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2" t="s">
        <v>0</v>
      </c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 t="s">
        <v>5</v>
      </c>
    </row>
    <row r="26" spans="1:56" x14ac:dyDescent="0.3">
      <c r="A26" s="1" t="s">
        <v>34</v>
      </c>
      <c r="B26" s="2" t="s">
        <v>3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2" t="s">
        <v>0</v>
      </c>
      <c r="W26" s="1"/>
      <c r="X26" s="1"/>
      <c r="Y26" s="1"/>
      <c r="Z26" s="1"/>
      <c r="AA26" s="1"/>
      <c r="AB26" s="1"/>
      <c r="AC26" s="1"/>
      <c r="AD26" s="1"/>
      <c r="AE26" s="2" t="s">
        <v>16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</row>
    <row r="27" spans="1:56" x14ac:dyDescent="0.3">
      <c r="A27" s="1" t="s">
        <v>33</v>
      </c>
      <c r="B27" s="1"/>
      <c r="C27" s="1"/>
      <c r="D27" s="1"/>
      <c r="E27" s="2" t="s">
        <v>32</v>
      </c>
      <c r="F27" s="1"/>
      <c r="G27" s="2" t="s">
        <v>0</v>
      </c>
      <c r="H27" s="1"/>
      <c r="I27" s="2" t="s">
        <v>0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2" t="s">
        <v>0</v>
      </c>
      <c r="AJ27" s="1"/>
      <c r="AK27" s="1"/>
      <c r="AL27" s="1"/>
      <c r="AM27" s="1"/>
      <c r="AN27" s="1"/>
      <c r="AO27" s="1" t="s">
        <v>0</v>
      </c>
      <c r="AP27" s="2" t="s">
        <v>17</v>
      </c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</row>
    <row r="28" spans="1:56" x14ac:dyDescent="0.3">
      <c r="A28" s="1" t="s">
        <v>31</v>
      </c>
      <c r="B28" s="1"/>
      <c r="C28" s="1"/>
      <c r="D28" s="1"/>
      <c r="E28" s="1"/>
      <c r="F28" s="1"/>
      <c r="G28" s="1"/>
      <c r="H28" s="1"/>
      <c r="I28" s="1"/>
      <c r="J28" s="1"/>
      <c r="K28" s="2" t="s">
        <v>3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2" t="s">
        <v>3</v>
      </c>
      <c r="AC28" s="1"/>
      <c r="AD28" s="1"/>
      <c r="AE28" s="1"/>
      <c r="AF28" s="1"/>
      <c r="AG28" s="1"/>
      <c r="AH28" s="1"/>
      <c r="AI28" s="2" t="s">
        <v>0</v>
      </c>
      <c r="AJ28" s="1"/>
      <c r="AK28" s="1"/>
      <c r="AL28" s="1"/>
      <c r="AM28" s="1"/>
      <c r="AN28" s="1"/>
      <c r="AO28" s="2" t="s">
        <v>0</v>
      </c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 t="s">
        <v>30</v>
      </c>
    </row>
    <row r="29" spans="1:56" x14ac:dyDescent="0.3">
      <c r="A29" s="1" t="s">
        <v>29</v>
      </c>
      <c r="B29" s="1"/>
      <c r="C29" s="1"/>
      <c r="D29" s="1"/>
      <c r="E29" s="2" t="s">
        <v>20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2" t="s">
        <v>0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 t="s">
        <v>0</v>
      </c>
      <c r="AP29" s="2" t="s">
        <v>17</v>
      </c>
      <c r="AQ29" s="1"/>
      <c r="AR29" s="1"/>
      <c r="AS29" s="1"/>
      <c r="AT29" s="1"/>
      <c r="AU29" s="1"/>
      <c r="AV29" s="2" t="s">
        <v>3</v>
      </c>
      <c r="AW29" s="1"/>
      <c r="AX29" s="1"/>
      <c r="AY29" s="1"/>
      <c r="AZ29" s="1"/>
      <c r="BA29" s="1"/>
      <c r="BB29" s="1"/>
      <c r="BC29" s="1"/>
      <c r="BD29" s="1" t="s">
        <v>28</v>
      </c>
    </row>
    <row r="30" spans="1:56" x14ac:dyDescent="0.3">
      <c r="A30" s="1" t="s">
        <v>27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2" t="s">
        <v>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2" t="s">
        <v>0</v>
      </c>
      <c r="AC30" s="1"/>
      <c r="AD30" s="1"/>
      <c r="AE30" s="1"/>
      <c r="AF30" s="1"/>
      <c r="AG30" s="1"/>
      <c r="AH30" s="2" t="s">
        <v>0</v>
      </c>
      <c r="AI30" s="1"/>
      <c r="AJ30" s="1"/>
      <c r="AK30" s="1"/>
      <c r="AL30" s="1"/>
      <c r="AM30" s="2" t="s">
        <v>0</v>
      </c>
      <c r="AN30" s="1"/>
      <c r="AO30" s="2" t="s">
        <v>0</v>
      </c>
      <c r="AP30" s="1"/>
      <c r="AQ30" s="1"/>
      <c r="AR30" s="1"/>
      <c r="AS30" s="1"/>
      <c r="AT30" s="2" t="s">
        <v>0</v>
      </c>
      <c r="AU30" s="1"/>
      <c r="AV30" s="1"/>
      <c r="AW30" s="1"/>
      <c r="AX30" s="1"/>
      <c r="AY30" s="1"/>
      <c r="AZ30" s="1"/>
      <c r="BA30" s="1"/>
      <c r="BB30" s="1"/>
      <c r="BC30" s="1"/>
      <c r="BD30" s="1" t="s">
        <v>5</v>
      </c>
    </row>
    <row r="31" spans="1:56" x14ac:dyDescent="0.3">
      <c r="A31" s="1" t="s">
        <v>26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2" t="s">
        <v>0</v>
      </c>
      <c r="P31" s="1"/>
      <c r="Q31" s="1"/>
      <c r="R31" s="2" t="s">
        <v>0</v>
      </c>
      <c r="S31" s="1"/>
      <c r="T31" s="1"/>
      <c r="U31" s="1"/>
      <c r="V31" s="1"/>
      <c r="W31" s="1"/>
      <c r="X31" s="1"/>
      <c r="Y31" s="2" t="s">
        <v>0</v>
      </c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2" t="s">
        <v>0</v>
      </c>
      <c r="AN31" s="2" t="s">
        <v>15</v>
      </c>
      <c r="AO31" s="2" t="s">
        <v>0</v>
      </c>
      <c r="AP31" s="1"/>
      <c r="AQ31" s="1"/>
      <c r="AR31" s="1"/>
      <c r="AS31" s="1"/>
      <c r="AT31" s="1" t="s">
        <v>3</v>
      </c>
      <c r="AU31" s="2">
        <v>0.42</v>
      </c>
      <c r="AV31" s="1"/>
      <c r="AW31" s="1"/>
      <c r="AX31" s="1"/>
      <c r="AY31" s="1"/>
      <c r="AZ31" s="1"/>
      <c r="BA31" s="1"/>
      <c r="BB31" s="1"/>
      <c r="BC31" s="1"/>
      <c r="BD31" s="1"/>
    </row>
    <row r="32" spans="1:56" x14ac:dyDescent="0.3">
      <c r="A32" s="1" t="s">
        <v>25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2" t="s">
        <v>3</v>
      </c>
      <c r="N32" s="1"/>
      <c r="O32" s="1"/>
      <c r="P32" s="1"/>
      <c r="Q32" s="1"/>
      <c r="R32" s="1"/>
      <c r="S32" s="1"/>
      <c r="T32" s="2" t="s">
        <v>0</v>
      </c>
      <c r="U32" s="1"/>
      <c r="V32" s="1"/>
      <c r="W32" s="1"/>
      <c r="X32" s="2">
        <f xml:space="preserve"> 1-(60 / 469)</f>
        <v>0.8720682302771855</v>
      </c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2" t="s">
        <v>24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2">
        <v>0.64500000000000002</v>
      </c>
      <c r="BB32" s="1"/>
      <c r="BC32" s="1"/>
      <c r="BD32" s="1" t="s">
        <v>23</v>
      </c>
    </row>
    <row r="33" spans="1:56" x14ac:dyDescent="0.3">
      <c r="A33" s="1" t="s">
        <v>22</v>
      </c>
      <c r="B33" s="1"/>
      <c r="C33" s="1"/>
      <c r="D33" s="2" t="s">
        <v>21</v>
      </c>
      <c r="E33" s="2" t="s">
        <v>20</v>
      </c>
      <c r="F33" s="1"/>
      <c r="G33" s="1"/>
      <c r="H33" s="1"/>
      <c r="I33" s="1"/>
      <c r="J33" s="2" t="s">
        <v>19</v>
      </c>
      <c r="K33" s="1"/>
      <c r="L33" s="1"/>
      <c r="M33" s="1"/>
      <c r="N33" s="1"/>
      <c r="O33" s="1"/>
      <c r="P33" s="1"/>
      <c r="Q33" s="1"/>
      <c r="R33" s="1"/>
      <c r="S33" s="1"/>
      <c r="T33" s="2" t="s">
        <v>0</v>
      </c>
      <c r="U33" s="1"/>
      <c r="V33" s="1"/>
      <c r="W33" s="2" t="s">
        <v>18</v>
      </c>
      <c r="X33" s="3" t="s">
        <v>17</v>
      </c>
      <c r="Y33" s="1"/>
      <c r="Z33" s="2" t="s">
        <v>3</v>
      </c>
      <c r="AA33" s="1"/>
      <c r="AB33" s="1"/>
      <c r="AC33" s="1"/>
      <c r="AD33" s="1"/>
      <c r="AE33" s="2" t="s">
        <v>16</v>
      </c>
      <c r="AF33" s="1"/>
      <c r="AG33" s="1"/>
      <c r="AH33" s="1"/>
      <c r="AI33" s="1"/>
      <c r="AJ33" s="1"/>
      <c r="AK33" s="1"/>
      <c r="AL33" s="1"/>
      <c r="AM33" s="1"/>
      <c r="AN33" s="2" t="s">
        <v>15</v>
      </c>
      <c r="AO33" s="1"/>
      <c r="AP33" s="1"/>
      <c r="AQ33" s="1"/>
      <c r="AR33" s="1"/>
      <c r="AS33" s="1"/>
      <c r="AT33" s="1"/>
      <c r="AU33" s="2">
        <v>0.17</v>
      </c>
      <c r="AV33" s="1"/>
      <c r="AW33" s="1"/>
      <c r="AX33" s="1"/>
      <c r="AY33" s="2">
        <v>0.64</v>
      </c>
      <c r="AZ33" s="1"/>
      <c r="BA33" s="1"/>
      <c r="BB33" s="1"/>
      <c r="BC33" s="1"/>
      <c r="BD33" t="s">
        <v>14</v>
      </c>
    </row>
    <row r="34" spans="1:56" x14ac:dyDescent="0.3">
      <c r="A34" s="1" t="s">
        <v>13</v>
      </c>
      <c r="B34" s="1"/>
      <c r="C34" s="1"/>
      <c r="D34" s="1"/>
      <c r="E34" s="2" t="s">
        <v>12</v>
      </c>
      <c r="F34" s="1"/>
      <c r="G34" s="1"/>
      <c r="H34" s="2" t="s">
        <v>11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2" t="s">
        <v>3</v>
      </c>
      <c r="V34" s="2" t="s">
        <v>0</v>
      </c>
      <c r="W34" s="1"/>
      <c r="X34" s="2">
        <f xml:space="preserve"> 1 - (151/181)</f>
        <v>0.16574585635359118</v>
      </c>
      <c r="Y34" s="2" t="s">
        <v>3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2" t="s">
        <v>0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</row>
    <row r="35" spans="1:56" x14ac:dyDescent="0.3">
      <c r="A35" s="1" t="s">
        <v>10</v>
      </c>
      <c r="B35" s="1"/>
      <c r="C35" s="1"/>
      <c r="D35" s="1"/>
      <c r="E35" s="2" t="s">
        <v>9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2" t="s">
        <v>3</v>
      </c>
      <c r="V35" s="1"/>
      <c r="W35" s="2" t="s">
        <v>8</v>
      </c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2" t="s">
        <v>0</v>
      </c>
      <c r="AL35" s="1"/>
      <c r="AM35" s="1"/>
      <c r="AN35" s="2" t="s">
        <v>7</v>
      </c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</row>
    <row r="36" spans="1:56" x14ac:dyDescent="0.3">
      <c r="A36" s="1" t="s">
        <v>6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2" t="s">
        <v>0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2" t="s">
        <v>3</v>
      </c>
      <c r="AY36" s="1"/>
      <c r="AZ36" s="1"/>
      <c r="BA36" s="1"/>
      <c r="BB36" s="1"/>
      <c r="BC36" s="1"/>
      <c r="BD36" s="1" t="s">
        <v>5</v>
      </c>
    </row>
    <row r="37" spans="1:56" x14ac:dyDescent="0.3">
      <c r="A37" s="1" t="s">
        <v>4</v>
      </c>
      <c r="B37" s="2" t="s">
        <v>0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2" t="s">
        <v>3</v>
      </c>
      <c r="O37" s="1"/>
      <c r="P37" s="1"/>
      <c r="Q37" s="2" t="s">
        <v>0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2" t="s">
        <v>0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2" t="s">
        <v>0</v>
      </c>
      <c r="AU37" s="1"/>
      <c r="AV37" s="1"/>
      <c r="AW37" s="1"/>
      <c r="AX37" s="1"/>
      <c r="AY37" s="1"/>
      <c r="AZ37" s="1"/>
      <c r="BA37" s="1"/>
      <c r="BB37" s="1"/>
      <c r="BC37" s="1"/>
      <c r="BD37" t="s">
        <v>2</v>
      </c>
    </row>
    <row r="38" spans="1:56" x14ac:dyDescent="0.3">
      <c r="A38" s="1" t="s">
        <v>1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2" t="s">
        <v>0</v>
      </c>
      <c r="AY38" s="1"/>
      <c r="AZ38" s="1"/>
      <c r="BA38" s="1"/>
      <c r="BB38" s="1"/>
      <c r="BC38" s="1"/>
      <c r="BD38" s="1"/>
    </row>
  </sheetData>
  <dataValidations count="45">
    <dataValidation type="list" allowBlank="1" sqref="BC2:BC38" xr:uid="{00000000-0002-0000-0000-00002C000000}">
      <formula1>matrix_source_list</formula1>
    </dataValidation>
    <dataValidation type="list" allowBlank="1" sqref="AZ2:AZ38" xr:uid="{00000000-0002-0000-0000-00002B000000}">
      <formula1>length_correlation_noted_list</formula1>
    </dataValidation>
    <dataValidation type="list" allowBlank="1" sqref="AX2:AX38" xr:uid="{00000000-0002-0000-0000-00002A000000}">
      <formula1>max_overlap_list</formula1>
    </dataValidation>
    <dataValidation type="list" allowBlank="1" sqref="AV2:AV38" xr:uid="{00000000-0002-0000-0000-000029000000}">
      <formula1>min_overlap_list</formula1>
    </dataValidation>
    <dataValidation type="list" allowBlank="1" sqref="AT2:AT38" xr:uid="{00000000-0002-0000-0000-000028000000}">
      <formula1>mean_overlap_list</formula1>
    </dataValidation>
    <dataValidation type="list" allowBlank="1" sqref="AS2:AS38" xr:uid="{00000000-0002-0000-0000-000027000000}">
      <formula1>disagreement_resolved_mentioned_list</formula1>
    </dataValidation>
    <dataValidation type="list" allowBlank="1" sqref="AR2:AR38" xr:uid="{00000000-0002-0000-0000-000026000000}">
      <formula1>coding_scheme_independent_mentioned_list</formula1>
    </dataValidation>
    <dataValidation type="list" allowBlank="1" sqref="AQ2:AQ38" xr:uid="{00000000-0002-0000-0000-000025000000}">
      <formula1>preregistered_rules_list</formula1>
    </dataValidation>
    <dataValidation type="list" allowBlank="1" sqref="AO2:AO38" xr:uid="{00000000-0002-0000-0000-000024000000}">
      <formula1>IRR_reported_list</formula1>
    </dataValidation>
    <dataValidation type="list" allowBlank="1" sqref="AN2:AN38" xr:uid="{00000000-0002-0000-0000-000023000000}">
      <formula1>n_rater_list</formula1>
    </dataValidation>
    <dataValidation type="list" allowBlank="1" sqref="AM2:AM38" xr:uid="{00000000-0002-0000-0000-000022000000}">
      <formula1>item_exclusions_list</formula1>
    </dataValidation>
    <dataValidation type="list" allowBlank="1" sqref="AL2:AL38" xr:uid="{00000000-0002-0000-0000-000021000000}">
      <formula1>software_used_list</formula1>
    </dataValidation>
    <dataValidation type="list" allowBlank="1" sqref="AK2:AK38" xr:uid="{00000000-0002-0000-0000-000020000000}">
      <formula1>software_mentioned_list</formula1>
    </dataValidation>
    <dataValidation type="list" allowBlank="1" sqref="AJ2:AJ38" xr:uid="{00000000-0002-0000-0000-00001F000000}">
      <formula1>codebook_list</formula1>
    </dataValidation>
    <dataValidation type="list" allowBlank="1" sqref="AI2:AI38" xr:uid="{00000000-0002-0000-0000-00001E000000}">
      <formula1>blinded_list</formula1>
    </dataValidation>
    <dataValidation type="list" allowBlank="1" sqref="AH2:AH38" xr:uid="{00000000-0002-0000-0000-00001D000000}">
      <formula1>rater_expertise_list</formula1>
    </dataValidation>
    <dataValidation type="list" allowBlank="1" sqref="AG2:AG38" xr:uid="{00000000-0002-0000-0000-00001C000000}">
      <formula1>initial_coding_team_size_list</formula1>
    </dataValidation>
    <dataValidation type="list" allowBlank="1" sqref="AF2:AF38" xr:uid="{00000000-0002-0000-0000-00001B000000}">
      <formula1>coding_team_reported_list</formula1>
    </dataValidation>
    <dataValidation type="list" allowBlank="1" sqref="AE2:AE38" xr:uid="{00000000-0002-0000-0000-00001A000000}">
      <formula1>diagnostic_framework_list</formula1>
    </dataValidation>
    <dataValidation type="list" allowBlank="1" sqref="AD2:AD38" xr:uid="{00000000-0002-0000-0000-000019000000}">
      <formula1>categorization_approach_list</formula1>
    </dataValidation>
    <dataValidation type="list" allowBlank="1" sqref="AC2:AC38" xr:uid="{00000000-0002-0000-0000-000018000000}">
      <formula1>reverse_worded_items_list</formula1>
    </dataValidation>
    <dataValidation type="list" allowBlank="1" sqref="AB2:AB38" xr:uid="{00000000-0002-0000-0000-000017000000}">
      <formula1>idiosyncratic_items_list</formula1>
    </dataValidation>
    <dataValidation type="list" allowBlank="1" sqref="AA2:AA38" xr:uid="{00000000-0002-0000-0000-000016000000}">
      <formula1>compound_items_codes_list</formula1>
    </dataValidation>
    <dataValidation type="list" allowBlank="1" sqref="Z2:Z38" xr:uid="{00000000-0002-0000-0000-000015000000}">
      <formula1>compound_items_list</formula1>
    </dataValidation>
    <dataValidation type="list" allowBlank="1" sqref="Y2:Y38" xr:uid="{00000000-0002-0000-0000-000014000000}">
      <formula1>within_scale_item_collapse_list</formula1>
    </dataValidation>
    <dataValidation type="list" allowBlank="1" sqref="W2:W38" xr:uid="{00000000-0002-0000-0000-000013000000}">
      <formula1>item_unit_list</formula1>
    </dataValidation>
    <dataValidation type="list" allowBlank="1" sqref="V2:V38" xr:uid="{00000000-0002-0000-0000-000012000000}">
      <formula1>multiple_analyses_list</formula1>
    </dataValidation>
    <dataValidation type="list" allowBlank="1" sqref="U2:U38" xr:uid="{00000000-0002-0000-0000-000011000000}">
      <formula1>exclusion_criteria_list</formula1>
    </dataValidation>
    <dataValidation type="list" allowBlank="1" sqref="T2:T38" xr:uid="{00000000-0002-0000-0000-000010000000}">
      <formula1>min_scale_citation_list</formula1>
    </dataValidation>
    <dataValidation type="list" allowBlank="1" sqref="S2:S38" xr:uid="{00000000-0002-0000-0000-00000F000000}">
      <formula1>frequency_list</formula1>
    </dataValidation>
    <dataValidation type="list" allowBlank="1" sqref="R2:R38" xr:uid="{00000000-0002-0000-0000-00000E000000}">
      <formula1>release_date_mentioned_list</formula1>
    </dataValidation>
    <dataValidation type="list" allowBlank="1" sqref="Q2:Q38" xr:uid="{00000000-0002-0000-0000-00000D000000}">
      <formula1>availability_mentioned_list</formula1>
    </dataValidation>
    <dataValidation type="list" allowBlank="1" sqref="P2:P38" xr:uid="{00000000-0002-0000-0000-00000C000000}">
      <formula1>language_mentioned_list</formula1>
    </dataValidation>
    <dataValidation type="list" allowBlank="1" sqref="O2:O38" xr:uid="{00000000-0002-0000-0000-00000B000000}">
      <formula1>clinical_relevance_list</formula1>
    </dataValidation>
    <dataValidation type="list" allowBlank="1" sqref="N2:N38" xr:uid="{00000000-0002-0000-0000-00000A000000}">
      <formula1>inclusion_binary_list</formula1>
    </dataValidation>
    <dataValidation type="list" allowBlank="1" sqref="M2:M38" xr:uid="{00000000-0002-0000-0000-000009000000}">
      <formula1>inclusion_criteria_applicable_list</formula1>
    </dataValidation>
    <dataValidation type="list" allowBlank="1" sqref="L2:L38" xr:uid="{00000000-0002-0000-0000-000008000000}">
      <formula1>prisma_list</formula1>
    </dataValidation>
    <dataValidation type="list" allowBlank="1" sqref="K2:K38" xr:uid="{00000000-0002-0000-0000-000007000000}">
      <formula1>prisma_a_list</formula1>
    </dataValidation>
    <dataValidation type="list" allowBlank="1" sqref="I2:I38" xr:uid="{00000000-0002-0000-0000-000006000000}">
      <formula1>scale_search_list</formula1>
    </dataValidation>
    <dataValidation type="list" allowBlank="1" sqref="H2:H38" xr:uid="{00000000-0002-0000-0000-000005000000}">
      <formula1>population_list</formula1>
    </dataValidation>
    <dataValidation type="list" allowBlank="1" sqref="G2:G38" xr:uid="{00000000-0002-0000-0000-000004000000}">
      <formula1>short_scales_list</formula1>
    </dataValidation>
    <dataValidation type="list" allowBlank="1" sqref="F2:F38" xr:uid="{00000000-0002-0000-0000-000003000000}">
      <formula1>administration_mode_list</formula1>
    </dataValidation>
    <dataValidation type="list" allowBlank="1" sqref="E2:E38" xr:uid="{00000000-0002-0000-0000-000002000000}">
      <formula1>fields_list</formula1>
    </dataValidation>
    <dataValidation type="list" allowBlank="1" sqref="D2:D38" xr:uid="{00000000-0002-0000-0000-000001000000}">
      <formula1>overarching_domain_list</formula1>
    </dataValidation>
    <dataValidation type="list" allowBlank="1" sqref="B2:B38" xr:uid="{00000000-0002-0000-0000-000000000000}">
      <formula1>matrix_list</formula1>
    </dataValidation>
  </dataValidations>
  <pageMargins left="0.75" right="0.75" top="1" bottom="1" header="0.5" footer="0.5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Schneeberger, Tim (STUDENTS)</dc:creator>
  <cp:lastModifiedBy>Schneeberger, Tim (STUDENTS)</cp:lastModifiedBy>
  <dcterms:created xsi:type="dcterms:W3CDTF">2026-06-25T16:15:02Z</dcterms:created>
  <dcterms:modified xsi:type="dcterms:W3CDTF">2026-06-25T16:16:46Z</dcterms:modified>
</cp:coreProperties>
</file>